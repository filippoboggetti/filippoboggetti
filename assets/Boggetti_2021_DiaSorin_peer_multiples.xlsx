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braun/Desktop/"/>
    </mc:Choice>
  </mc:AlternateContent>
  <xr:revisionPtr revIDLastSave="0" documentId="13_ncr:1_{6D37ACAF-0665-F141-BCBD-B954B4E343EC}" xr6:coauthVersionLast="47" xr6:coauthVersionMax="47" xr10:uidLastSave="{00000000-0000-0000-0000-000000000000}"/>
  <bookViews>
    <workbookView xWindow="34400" yWindow="500" windowWidth="34400" windowHeight="26720" xr2:uid="{5A29902E-BB88-EB4C-9E1D-2870D788648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G20" i="1"/>
  <c r="E17" i="1"/>
  <c r="G17" i="1"/>
  <c r="H17" i="1"/>
  <c r="D17" i="1"/>
  <c r="E15" i="1"/>
  <c r="F15" i="1"/>
  <c r="G15" i="1"/>
  <c r="H15" i="1"/>
  <c r="D15" i="1"/>
  <c r="G21" i="1" l="1"/>
</calcChain>
</file>

<file path=xl/sharedStrings.xml><?xml version="1.0" encoding="utf-8"?>
<sst xmlns="http://schemas.openxmlformats.org/spreadsheetml/2006/main" count="73" uniqueCount="46">
  <si>
    <t>Peers (in vitro diagnostic)</t>
  </si>
  <si>
    <t>Exact Sciences Corp</t>
  </si>
  <si>
    <t>USD</t>
  </si>
  <si>
    <t>BioMerieux</t>
  </si>
  <si>
    <t>EUR</t>
  </si>
  <si>
    <t>QIAGEN NV</t>
  </si>
  <si>
    <t>Quidel Corp</t>
  </si>
  <si>
    <t>Myriad Genetics Inc</t>
  </si>
  <si>
    <t>Meridian Bioscience Inc</t>
  </si>
  <si>
    <t>OraSure Technologies Inc</t>
  </si>
  <si>
    <t>Ortho Clinical Diagnostic</t>
  </si>
  <si>
    <t>Tecan Group AG</t>
  </si>
  <si>
    <t>CHF</t>
  </si>
  <si>
    <t>Currency</t>
  </si>
  <si>
    <t>TTM</t>
  </si>
  <si>
    <t>--</t>
  </si>
  <si>
    <t xml:space="preserve">-- </t>
  </si>
  <si>
    <t>P/E</t>
  </si>
  <si>
    <t>P/S</t>
  </si>
  <si>
    <t>EV/adj. EBITDA</t>
  </si>
  <si>
    <t>P/B</t>
  </si>
  <si>
    <t>P/LFCF</t>
  </si>
  <si>
    <t>Median Values</t>
  </si>
  <si>
    <t>impl. Shareprice</t>
  </si>
  <si>
    <t>7,8 bn</t>
  </si>
  <si>
    <t>DiaSorin</t>
  </si>
  <si>
    <t>Business Activity</t>
  </si>
  <si>
    <t>Cancer Detection</t>
  </si>
  <si>
    <t>Genetic Diagnostic</t>
  </si>
  <si>
    <t>Blood: transfusion, clinical chem, consulting</t>
  </si>
  <si>
    <t>Diagnostic (COVID), Molecular testing (start to finish)</t>
  </si>
  <si>
    <t>88% Diluted EPS Growth (different stage)</t>
  </si>
  <si>
    <t>Diagnostic (COVID), drug testing, different stage</t>
  </si>
  <si>
    <t>Different Diagnostics, many products and automatization solutions</t>
  </si>
  <si>
    <t>Diagnostic (COVID),  industrial microbiology for food-, cosmetic- and pharmaceutical industry</t>
  </si>
  <si>
    <t>Diagnostic (COVID), market leaders in infectious disease and reproductive health, …</t>
  </si>
  <si>
    <t>Good Comparable? K.O. criteria</t>
  </si>
  <si>
    <t>Plus 20% Covid Revenues</t>
  </si>
  <si>
    <t>9,36 bn</t>
  </si>
  <si>
    <t>9,793 bn</t>
  </si>
  <si>
    <t>Actual Shareprice (EUR)</t>
  </si>
  <si>
    <t>Actual EV (EUR)</t>
  </si>
  <si>
    <t>Shareprice Premium</t>
  </si>
  <si>
    <t>EV Premium</t>
  </si>
  <si>
    <t>(AVG Value) pre COVID adj.</t>
  </si>
  <si>
    <t xml:space="preserve">(AVG Value) COVID adj.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</si>
</sst>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45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quotePrefix="1" applyAlignment="1">
      <alignment horizontal="center"/>
    </xf>
    <xf numFmtId="164" fontId="1" fillId="2" borderId="0" xfId="1" applyNumberFormat="1" applyAlignment="1">
      <alignment horizontal="center"/>
    </xf>
    <xf numFmtId="0" fontId="1" fillId="3" borderId="1" xfId="2" applyBorder="1" applyAlignment="1">
      <alignment horizontal="center"/>
    </xf>
    <xf numFmtId="0" fontId="1" fillId="2" borderId="3" xfId="1" applyBorder="1"/>
    <xf numFmtId="0" fontId="1" fillId="3" borderId="5" xfId="2" applyBorder="1"/>
    <xf numFmtId="0" fontId="1" fillId="3" borderId="6" xfId="2" applyBorder="1"/>
    <xf numFmtId="0" fontId="1" fillId="3" borderId="4" xfId="2" applyBorder="1"/>
    <xf numFmtId="0" fontId="1" fillId="3" borderId="4" xfId="2" applyBorder="1" applyAlignment="1">
      <alignment horizontal="center"/>
    </xf>
    <xf numFmtId="0" fontId="1" fillId="3" borderId="8" xfId="2" applyBorder="1" applyAlignment="1">
      <alignment horizontal="center"/>
    </xf>
    <xf numFmtId="0" fontId="1" fillId="3" borderId="9" xfId="2" applyBorder="1" applyAlignment="1">
      <alignment horizontal="center"/>
    </xf>
    <xf numFmtId="0" fontId="1" fillId="3" borderId="11" xfId="2" applyBorder="1"/>
    <xf numFmtId="0" fontId="1" fillId="3" borderId="12" xfId="2" applyBorder="1"/>
    <xf numFmtId="0" fontId="1" fillId="3" borderId="13" xfId="2" applyBorder="1"/>
    <xf numFmtId="0" fontId="1" fillId="5" borderId="10" xfId="4" applyBorder="1" applyAlignment="1">
      <alignment horizontal="center"/>
    </xf>
    <xf numFmtId="0" fontId="1" fillId="5" borderId="10" xfId="4" applyBorder="1"/>
    <xf numFmtId="164" fontId="2" fillId="4" borderId="14" xfId="3" applyNumberFormat="1" applyBorder="1" applyAlignment="1">
      <alignment horizontal="center"/>
    </xf>
    <xf numFmtId="164" fontId="2" fillId="4" borderId="15" xfId="3" applyNumberFormat="1" applyBorder="1" applyAlignment="1">
      <alignment horizontal="center"/>
    </xf>
    <xf numFmtId="0" fontId="2" fillId="4" borderId="10" xfId="3" applyBorder="1" applyAlignment="1">
      <alignment horizontal="center"/>
    </xf>
    <xf numFmtId="0" fontId="2" fillId="4" borderId="14" xfId="3" applyBorder="1" applyAlignment="1">
      <alignment horizontal="center"/>
    </xf>
    <xf numFmtId="0" fontId="2" fillId="4" borderId="15" xfId="3" applyBorder="1" applyAlignment="1">
      <alignment horizontal="center"/>
    </xf>
    <xf numFmtId="164" fontId="2" fillId="4" borderId="7" xfId="3" applyNumberFormat="1" applyBorder="1" applyAlignment="1">
      <alignment horizontal="center"/>
    </xf>
    <xf numFmtId="0" fontId="2" fillId="4" borderId="7" xfId="3" applyBorder="1" applyAlignment="1">
      <alignment horizontal="center"/>
    </xf>
    <xf numFmtId="0" fontId="1" fillId="2" borderId="15" xfId="1" applyBorder="1" applyAlignment="1">
      <alignment horizontal="center"/>
    </xf>
    <xf numFmtId="0" fontId="1" fillId="3" borderId="10" xfId="2" applyBorder="1"/>
    <xf numFmtId="0" fontId="1" fillId="2" borderId="1" xfId="1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2" xfId="1" applyBorder="1"/>
    <xf numFmtId="0" fontId="1" fillId="2" borderId="0" xfId="1" applyBorder="1"/>
    <xf numFmtId="0" fontId="1" fillId="2" borderId="0" xfId="1" quotePrefix="1" applyAlignment="1"/>
    <xf numFmtId="164" fontId="1" fillId="2" borderId="0" xfId="1" applyNumberFormat="1" applyAlignment="1"/>
    <xf numFmtId="0" fontId="1" fillId="2" borderId="11" xfId="1" applyBorder="1"/>
    <xf numFmtId="0" fontId="1" fillId="2" borderId="12" xfId="1" applyBorder="1"/>
    <xf numFmtId="0" fontId="1" fillId="2" borderId="13" xfId="1" applyBorder="1"/>
    <xf numFmtId="164" fontId="1" fillId="2" borderId="5" xfId="1" applyNumberFormat="1" applyBorder="1" applyAlignment="1"/>
    <xf numFmtId="0" fontId="1" fillId="3" borderId="1" xfId="2" applyBorder="1" applyAlignment="1">
      <alignment horizontal="left"/>
    </xf>
    <xf numFmtId="0" fontId="1" fillId="3" borderId="8" xfId="2" applyBorder="1"/>
    <xf numFmtId="0" fontId="1" fillId="3" borderId="9" xfId="2" applyBorder="1"/>
    <xf numFmtId="0" fontId="1" fillId="2" borderId="8" xfId="1" applyBorder="1"/>
    <xf numFmtId="0" fontId="1" fillId="2" borderId="9" xfId="1" applyBorder="1"/>
    <xf numFmtId="2" fontId="2" fillId="4" borderId="15" xfId="3" applyNumberFormat="1" applyBorder="1" applyAlignment="1">
      <alignment horizontal="center"/>
    </xf>
    <xf numFmtId="2" fontId="2" fillId="4" borderId="7" xfId="3" applyNumberFormat="1" applyBorder="1" applyAlignment="1">
      <alignment horizontal="center"/>
    </xf>
    <xf numFmtId="9" fontId="2" fillId="4" borderId="10" xfId="3" applyNumberFormat="1" applyBorder="1" applyAlignment="1">
      <alignment horizontal="center"/>
    </xf>
  </cellXfs>
  <cellStyles count="5">
    <cellStyle name="20 % - Akzent1" xfId="1" builtinId="30"/>
    <cellStyle name="40 % - Akzent1" xfId="2" builtinId="31"/>
    <cellStyle name="60 % - Akzent2" xfId="4" builtinId="36"/>
    <cellStyle name="Akzent2" xfId="3" builtinId="3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B12D-C9D0-9F45-8D01-82703F23899D}">
  <sheetPr>
    <tabColor theme="8"/>
  </sheetPr>
  <dimension ref="A1:Z54"/>
  <sheetViews>
    <sheetView showGridLines="0" tabSelected="1" zoomScale="170" zoomScaleNormal="170" workbookViewId="0">
      <selection activeCell="E26" sqref="E26"/>
    </sheetView>
  </sheetViews>
  <sheetFormatPr baseColWidth="10" defaultColWidth="22" defaultRowHeight="16" x14ac:dyDescent="0.2"/>
  <cols>
    <col min="2" max="2" width="22" customWidth="1"/>
    <col min="3" max="3" width="23" customWidth="1"/>
    <col min="6" max="6" width="22.832031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8"/>
      <c r="C3" s="9"/>
      <c r="D3" s="10" t="s">
        <v>14</v>
      </c>
      <c r="E3" s="10" t="s">
        <v>14</v>
      </c>
      <c r="F3" s="10" t="s">
        <v>14</v>
      </c>
      <c r="G3" s="10" t="s">
        <v>14</v>
      </c>
      <c r="H3" s="11" t="s">
        <v>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7" t="s">
        <v>0</v>
      </c>
      <c r="C4" s="5" t="s">
        <v>13</v>
      </c>
      <c r="D4" s="5" t="s">
        <v>17</v>
      </c>
      <c r="E4" s="5" t="s">
        <v>18</v>
      </c>
      <c r="F4" s="5" t="s">
        <v>19</v>
      </c>
      <c r="G4" s="5" t="s">
        <v>20</v>
      </c>
      <c r="H4" s="12" t="s">
        <v>21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3" t="s">
        <v>1</v>
      </c>
      <c r="C5" s="2" t="s">
        <v>2</v>
      </c>
      <c r="D5" s="3" t="s">
        <v>16</v>
      </c>
      <c r="E5" s="2">
        <v>9.5</v>
      </c>
      <c r="F5" s="3" t="s">
        <v>15</v>
      </c>
      <c r="G5" s="2">
        <v>4.95</v>
      </c>
      <c r="H5" s="3" t="s">
        <v>15</v>
      </c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4" t="s">
        <v>3</v>
      </c>
      <c r="C6" s="2" t="s">
        <v>4</v>
      </c>
      <c r="D6" s="2">
        <v>24.5</v>
      </c>
      <c r="E6" s="2">
        <v>3.9</v>
      </c>
      <c r="F6" s="4">
        <v>13.51</v>
      </c>
      <c r="G6" s="2">
        <v>4.58</v>
      </c>
      <c r="H6" s="2">
        <v>55.8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4" t="s">
        <v>5</v>
      </c>
      <c r="C7" s="2" t="s">
        <v>2</v>
      </c>
      <c r="D7" s="2">
        <v>20.8</v>
      </c>
      <c r="E7" s="2">
        <v>5.5</v>
      </c>
      <c r="F7" s="4">
        <v>16.5</v>
      </c>
      <c r="G7" s="2">
        <v>4.01</v>
      </c>
      <c r="H7" s="2">
        <v>29</v>
      </c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4" t="s">
        <v>6</v>
      </c>
      <c r="C8" s="2" t="s">
        <v>2</v>
      </c>
      <c r="D8" s="2">
        <v>5.9</v>
      </c>
      <c r="E8" s="2">
        <v>3.1</v>
      </c>
      <c r="F8" s="4">
        <v>3.9</v>
      </c>
      <c r="G8" s="2">
        <v>3.42</v>
      </c>
      <c r="H8" s="2">
        <v>9.9730000000000008</v>
      </c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4" t="s">
        <v>7</v>
      </c>
      <c r="C9" s="2" t="s">
        <v>2</v>
      </c>
      <c r="D9" s="2">
        <v>40.5</v>
      </c>
      <c r="E9" s="2">
        <v>4.2</v>
      </c>
      <c r="F9" s="3" t="s">
        <v>15</v>
      </c>
      <c r="G9" s="2">
        <v>2.6</v>
      </c>
      <c r="H9" s="3" t="s">
        <v>15</v>
      </c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4" t="s">
        <v>8</v>
      </c>
      <c r="C10" s="2" t="s">
        <v>2</v>
      </c>
      <c r="D10" s="2">
        <v>11.1</v>
      </c>
      <c r="E10" s="2">
        <v>2.6</v>
      </c>
      <c r="F10" s="4">
        <v>7</v>
      </c>
      <c r="G10" s="2">
        <v>2.4500000000000002</v>
      </c>
      <c r="H10" s="2">
        <v>20.25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4" t="s">
        <v>9</v>
      </c>
      <c r="C11" s="2" t="s">
        <v>2</v>
      </c>
      <c r="D11" s="3" t="s">
        <v>15</v>
      </c>
      <c r="E11" s="2">
        <v>2.9</v>
      </c>
      <c r="F11" s="4">
        <v>32</v>
      </c>
      <c r="G11" s="2">
        <v>1.76</v>
      </c>
      <c r="H11" s="3" t="s">
        <v>15</v>
      </c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4" t="s">
        <v>10</v>
      </c>
      <c r="C12" s="2" t="s">
        <v>2</v>
      </c>
      <c r="D12" s="3" t="s">
        <v>15</v>
      </c>
      <c r="E12" s="2">
        <v>2.4</v>
      </c>
      <c r="F12" s="4">
        <v>30.3</v>
      </c>
      <c r="G12" s="2">
        <v>12.25</v>
      </c>
      <c r="H12" s="2">
        <v>11.78</v>
      </c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5" t="s">
        <v>11</v>
      </c>
      <c r="C13" s="2" t="s">
        <v>12</v>
      </c>
      <c r="D13" s="2">
        <v>43.5</v>
      </c>
      <c r="E13" s="2">
        <v>7.4</v>
      </c>
      <c r="F13" s="4">
        <v>32.5</v>
      </c>
      <c r="G13" s="2">
        <v>8.24</v>
      </c>
      <c r="H13" s="2">
        <v>41.03</v>
      </c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C15" s="16" t="s">
        <v>22</v>
      </c>
      <c r="D15" s="18">
        <f>MEDIAN(D5:D13)</f>
        <v>22.65</v>
      </c>
      <c r="E15" s="19">
        <f t="shared" ref="E15:H15" si="0">MEDIAN(E5:E13)</f>
        <v>3.9</v>
      </c>
      <c r="F15" s="19">
        <f t="shared" si="0"/>
        <v>16.5</v>
      </c>
      <c r="G15" s="19">
        <f t="shared" si="0"/>
        <v>4.01</v>
      </c>
      <c r="H15" s="23">
        <f t="shared" si="0"/>
        <v>24.625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C16" s="17" t="s">
        <v>23</v>
      </c>
      <c r="D16" s="21">
        <v>125.64</v>
      </c>
      <c r="E16" s="22">
        <v>91.67</v>
      </c>
      <c r="F16" s="22" t="s">
        <v>24</v>
      </c>
      <c r="G16" s="22">
        <v>83.21</v>
      </c>
      <c r="H16" s="24">
        <v>95.72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C17" s="17" t="s">
        <v>37</v>
      </c>
      <c r="D17" s="42">
        <f>D16*1.2</f>
        <v>150.768</v>
      </c>
      <c r="E17" s="42">
        <f t="shared" ref="E17:H17" si="1">E16*1.2</f>
        <v>110.004</v>
      </c>
      <c r="F17" s="42" t="s">
        <v>38</v>
      </c>
      <c r="G17" s="42">
        <f t="shared" si="1"/>
        <v>99.85199999999999</v>
      </c>
      <c r="H17" s="43">
        <f t="shared" si="1"/>
        <v>114.86399999999999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G19" s="16" t="s">
        <v>42</v>
      </c>
      <c r="H19" s="16" t="s">
        <v>43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C20" s="17" t="s">
        <v>40</v>
      </c>
      <c r="D20" s="20">
        <v>182.8</v>
      </c>
      <c r="F20" s="17" t="s">
        <v>44</v>
      </c>
      <c r="G20" s="44" t="e">
        <f>(D20/E26)-1</f>
        <v>#DIV/0!</v>
      </c>
      <c r="H20" s="44">
        <f>(9.793/7.8)-1</f>
        <v>0.25551282051282054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C21" s="17" t="s">
        <v>41</v>
      </c>
      <c r="D21" s="20" t="s">
        <v>39</v>
      </c>
      <c r="F21" s="17" t="s">
        <v>45</v>
      </c>
      <c r="G21" s="44">
        <f>(D20/AVERAGE(D17:E17,G17:H17))-1</f>
        <v>0.53778854566256173</v>
      </c>
      <c r="H21" s="44">
        <f>(9.793/9.36)-1</f>
        <v>4.6260683760683818E-2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C31" s="26" t="s">
        <v>25</v>
      </c>
      <c r="D31" s="25" t="s">
        <v>4</v>
      </c>
      <c r="E31" s="25">
        <v>10.227</v>
      </c>
      <c r="F31" s="28">
        <v>9.7919999999999998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B41" s="1"/>
      <c r="C41" s="8"/>
      <c r="D41" s="10" t="s">
        <v>26</v>
      </c>
      <c r="E41" s="10"/>
      <c r="F41" s="10"/>
      <c r="G41" s="3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B42" s="1"/>
      <c r="C42" s="7" t="s">
        <v>0</v>
      </c>
      <c r="D42" s="37" t="s">
        <v>36</v>
      </c>
      <c r="E42" s="5"/>
      <c r="F42" s="5"/>
      <c r="G42" s="3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B43" s="1"/>
      <c r="C43" s="33" t="s">
        <v>1</v>
      </c>
      <c r="D43" s="31" t="s">
        <v>27</v>
      </c>
      <c r="E43" s="2"/>
      <c r="F43" s="3"/>
      <c r="G43" s="4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B44" s="1"/>
      <c r="C44" s="34" t="s">
        <v>3</v>
      </c>
      <c r="D44" s="32" t="s">
        <v>34</v>
      </c>
      <c r="E44" s="2"/>
      <c r="F44" s="2"/>
      <c r="G44" s="2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B45" s="1"/>
      <c r="C45" s="34" t="s">
        <v>5</v>
      </c>
      <c r="D45" s="32" t="s">
        <v>30</v>
      </c>
      <c r="E45" s="2"/>
      <c r="F45" s="2"/>
      <c r="G45" s="2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B46" s="1"/>
      <c r="C46" s="34" t="s">
        <v>6</v>
      </c>
      <c r="D46" s="32" t="s">
        <v>35</v>
      </c>
      <c r="E46" s="2"/>
      <c r="F46" s="2"/>
      <c r="G46" s="2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B47" s="1"/>
      <c r="C47" s="34" t="s">
        <v>7</v>
      </c>
      <c r="D47" s="31" t="s">
        <v>28</v>
      </c>
      <c r="E47" s="2"/>
      <c r="F47" s="3"/>
      <c r="G47" s="2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B48" s="1"/>
      <c r="C48" s="34" t="s">
        <v>8</v>
      </c>
      <c r="D48" s="32" t="s">
        <v>31</v>
      </c>
      <c r="E48" s="2"/>
      <c r="F48" s="2"/>
      <c r="G48" s="2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B49" s="1"/>
      <c r="C49" s="34" t="s">
        <v>9</v>
      </c>
      <c r="D49" s="32" t="s">
        <v>32</v>
      </c>
      <c r="E49" s="2"/>
      <c r="F49" s="3"/>
      <c r="G49" s="2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B50" s="1"/>
      <c r="C50" s="34" t="s">
        <v>10</v>
      </c>
      <c r="D50" s="32" t="s">
        <v>29</v>
      </c>
      <c r="E50" s="2"/>
      <c r="F50" s="2"/>
      <c r="G50" s="2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B51" s="1"/>
      <c r="C51" s="35" t="s">
        <v>11</v>
      </c>
      <c r="D51" s="36" t="s">
        <v>33</v>
      </c>
      <c r="E51" s="27"/>
      <c r="F51" s="27"/>
      <c r="G51" s="41"/>
      <c r="H51" s="1"/>
    </row>
    <row r="52" spans="1:26" x14ac:dyDescent="0.2">
      <c r="B52" s="1"/>
      <c r="C52" s="1"/>
      <c r="D52" s="1"/>
      <c r="E52" s="1"/>
      <c r="F52" s="30"/>
      <c r="G52" s="30"/>
      <c r="H52" s="1"/>
    </row>
    <row r="53" spans="1:26" x14ac:dyDescent="0.2">
      <c r="B53" s="1"/>
      <c r="G53" s="1"/>
      <c r="H53" s="1"/>
    </row>
    <row r="54" spans="1:26" x14ac:dyDescent="0.2">
      <c r="A54" s="1"/>
      <c r="B54" s="1"/>
      <c r="C54" s="1"/>
      <c r="D54" s="1"/>
      <c r="E54" s="1"/>
      <c r="F54" s="1"/>
      <c r="G54" s="1"/>
      <c r="H54" s="1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2021-11-15T14:48:24Z</dcterms:created>
  <dcterms:modified xsi:type="dcterms:W3CDTF">2021-11-15T21:05:15Z</dcterms:modified>
</cp:coreProperties>
</file>